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<sst xmlns="http://schemas.openxmlformats.org/spreadsheetml/2006/main" count="72" uniqueCount="53">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</sst>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4" sqref="G4"/>
    </sheetView>
  </sheetViews>
  <sheetFormatPr defaultColWidth="9" defaultRowHeight="14.5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t="str">
        <f>VLOOKUP(C2,KhoaHoc!$A$1:$F$8,2,0)</f>
        <v>Tieng Anh thieu nhi</v>
      </c>
      <c r="F2">
        <f>VLOOKUP(C2,KhoaHoc!$A$1:F8,3,0)</f>
        <v>900000</v>
      </c>
      <c r="G2">
        <f>D2*F2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VLOOKUP(C3,KhoaHoc!$A$1:$F$8,2,0)</f>
        <v>IELTS 6.5</v>
      </c>
      <c r="F3">
        <f>VLOOKUP(C3,KhoaHoc!$A$1:F9,3,0)</f>
        <v>2500000</v>
      </c>
      <c r="G3">
        <f t="shared" ref="G3:G16" si="0"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VLOOKUP(C4,KhoaHoc!$A$1:$F$8,2,0)</f>
        <v>Luyen phong van</v>
      </c>
      <c r="F4">
        <f>VLOOKUP(C4,KhoaHoc!$A$1:F10,3,0)</f>
        <v>3000000</v>
      </c>
      <c r="G4">
        <f t="shared" si="0"/>
        <v>9000000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t="str">
        <f>VLOOKUP(C5,KhoaHoc!$A$1:$F$8,2,0)</f>
        <v>Giao tiep nang cao</v>
      </c>
      <c r="F5">
        <f>VLOOKUP(C5,KhoaHoc!$A$1:F11,3,0)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VLOOKUP(C6,KhoaHoc!$A$1:$F$8,2,0)</f>
        <v>Giao tiep nang cao</v>
      </c>
      <c r="F6">
        <f>VLOOKUP(C6,KhoaHoc!$A$1:F12,3,0)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VLOOKUP(C7,KhoaHoc!$A$1:$F$8,2,0)</f>
        <v>IELTS 5.0</v>
      </c>
      <c r="F7">
        <f>VLOOKUP(C7,KhoaHoc!$A$1:F13,3,0)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VLOOKUP(C8,KhoaHoc!$A$1:$F$8,2,0)</f>
        <v>TOEIC 550</v>
      </c>
      <c r="F8">
        <f>VLOOKUP(C8,KhoaHoc!$A$1:F14,3,0)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VLOOKUP(C9,KhoaHoc!$A$1:$F$8,2,0)</f>
        <v>Luyen phong van</v>
      </c>
      <c r="F9">
        <f>VLOOKUP(C9,KhoaHoc!$A$1:F15,3,0)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VLOOKUP(C10,KhoaHoc!$A$1:$F$8,2,0)</f>
        <v>IELTS 6.5</v>
      </c>
      <c r="F10">
        <f>VLOOKUP(C10,KhoaHoc!$A$1:F16,3,0)</f>
        <v>2500000</v>
      </c>
      <c r="G10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t="str">
        <f>VLOOKUP(C11,KhoaHoc!$A$1:$F$8,2,0)</f>
        <v>IELTS 6.5</v>
      </c>
      <c r="F11">
        <f>VLOOKUP(C11,KhoaHoc!$A$1:F17,3,0)</f>
        <v>2500000</v>
      </c>
      <c r="G1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t="str">
        <f>VLOOKUP(C12,KhoaHoc!$A$1:$F$8,2,0)</f>
        <v>Tieng Anh thieu nhi</v>
      </c>
      <c r="F12">
        <f>VLOOKUP(C12,KhoaHoc!$A$1:F18,3,0)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>VLOOKUP(C13,KhoaHoc!$A$1:$F$8,2,0)</f>
        <v>Giao tiep co ban</v>
      </c>
      <c r="F13">
        <f>VLOOKUP(C13,KhoaHoc!$A$1:F19,3,0)</f>
        <v>1200000</v>
      </c>
      <c r="G13">
        <f t="shared" si="0"/>
        <v>4800000</v>
      </c>
    </row>
    <row r="14" hidden="1" spans="1:7">
      <c r="A14" t="s">
        <v>38</v>
      </c>
      <c r="B14" t="s">
        <v>39</v>
      </c>
      <c r="C14" t="s">
        <v>26</v>
      </c>
      <c r="D14">
        <v>3</v>
      </c>
      <c r="E14" t="str">
        <f>VLOOKUP(C14,KhoaHoc!$A$1:$F$8,2,0)</f>
        <v>TOEIC 550</v>
      </c>
      <c r="F14">
        <f>VLOOKUP(C14,KhoaHoc!$A$1:F20,3,0)</f>
        <v>1800000</v>
      </c>
      <c r="G14">
        <f t="shared" si="0"/>
        <v>5400000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t="str">
        <f>VLOOKUP(C15,KhoaHoc!$A$1:$F$8,2,0)</f>
        <v>IELTS 6.5</v>
      </c>
      <c r="F15">
        <f>VLOOKUP(C15,KhoaHoc!$A$1:F21,3,0)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VLOOKUP(C16,KhoaHoc!$A$1:$F$8,2,0)</f>
        <v>IELTS 6.5</v>
      </c>
      <c r="F16">
        <f>VLOOKUP(C16,KhoaHoc!$A$1:F22,3,0)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filters>
        <filter val="10000000"/>
        <filter val="6000000"/>
        <filter val="7200000"/>
        <filter val="7500000"/>
        <filter val="8000000"/>
        <filter val="90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2" sqref="F2"/>
    </sheetView>
  </sheetViews>
  <sheetFormatPr defaultColWidth="9" defaultRowHeight="14.5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VLOOKUP(E2,$A$1:$C$8,3,0)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Lý Trần</cp:lastModifiedBy>
  <dcterms:created xsi:type="dcterms:W3CDTF">2026-10-19T10:04:00Z</dcterms:created>
  <dcterms:modified xsi:type="dcterms:W3CDTF">2026-10-22T11:48:23Z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3CB65694E7C24A1294B00AAD620A08FD_12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